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RM Activos" sheetId="1" r:id="rId4"/>
    <sheet state="visible" name="Resumen" sheetId="2" r:id="rId5"/>
    <sheet state="visible" name="Listas" sheetId="3" r:id="rId6"/>
  </sheets>
  <definedNames/>
  <calcPr/>
  <extLst>
    <ext uri="GoogleSheetsCustomDataVersion2">
      <go:sheetsCustomData xmlns:go="http://customooxmlschemas.google.com/" r:id="rId7" roundtripDataChecksum="Bzj7e5KUcR8pSPMk7diBXSnaeUUbiep3T7RnuPyqE6Q="/>
    </ext>
  </extLst>
</workbook>
</file>

<file path=xl/sharedStrings.xml><?xml version="1.0" encoding="utf-8"?>
<sst xmlns="http://schemas.openxmlformats.org/spreadsheetml/2006/main" count="439" uniqueCount="264">
  <si>
    <t>Empresa</t>
  </si>
  <si>
    <t>Contacto</t>
  </si>
  <si>
    <t>Teléfono</t>
  </si>
  <si>
    <t>Email</t>
  </si>
  <si>
    <t>Prioridad</t>
  </si>
  <si>
    <t>Estado</t>
  </si>
  <si>
    <t>Último contacto</t>
  </si>
  <si>
    <t>Próxima acción</t>
  </si>
  <si>
    <t>Fecha próxima acción</t>
  </si>
  <si>
    <t>Resultado llamada</t>
  </si>
  <si>
    <t>La Gramanosa</t>
  </si>
  <si>
    <t>David Ribas</t>
  </si>
  <si>
    <t>669 46 00 79</t>
  </si>
  <si>
    <t>bodega@lagramanosa.es</t>
  </si>
  <si>
    <t>A</t>
  </si>
  <si>
    <t>Contactado</t>
  </si>
  <si>
    <t>Llamar</t>
  </si>
  <si>
    <t>VEREMA</t>
  </si>
  <si>
    <t>ESPERAR CAMPANYA</t>
  </si>
  <si>
    <t>Loxarel / Can Mayol</t>
  </si>
  <si>
    <t>Josep Mitjans</t>
  </si>
  <si>
    <t>654 51 04 89</t>
  </si>
  <si>
    <t>loxarel@loxarel.com</t>
  </si>
  <si>
    <t>PASSAR A PRESENTAR</t>
  </si>
  <si>
    <t>Maria Casanovas i Roig S.L.</t>
  </si>
  <si>
    <t>Jacint Verdaguer</t>
  </si>
  <si>
    <t>616 947 571</t>
  </si>
  <si>
    <t>mariacasanovas@mariacasanovas.com</t>
  </si>
  <si>
    <t>VACANCES FINS EL 10/07</t>
  </si>
  <si>
    <t>Maria Oliver Portí S.L.</t>
  </si>
  <si>
    <t>Albert Caldu</t>
  </si>
  <si>
    <t>650 68 08 42</t>
  </si>
  <si>
    <t>angelscaldu@hotmail.com</t>
  </si>
  <si>
    <t>Visita realizada</t>
  </si>
  <si>
    <t>Esperar campaña</t>
  </si>
  <si>
    <t xml:space="preserve">VISITAT  </t>
  </si>
  <si>
    <t>Mas del Vidre</t>
  </si>
  <si>
    <t>Jordi Cuscó</t>
  </si>
  <si>
    <t>679 89 85 45</t>
  </si>
  <si>
    <t>info@masdelvidre.com</t>
  </si>
  <si>
    <t>Visitar</t>
  </si>
  <si>
    <t>VISITA 12:00:00</t>
  </si>
  <si>
    <t>Masia Romagosa S.L.</t>
  </si>
  <si>
    <t>Montserrat Romagosa</t>
  </si>
  <si>
    <t>656 62 68 41</t>
  </si>
  <si>
    <t>montse@romagosatorne.com</t>
  </si>
  <si>
    <t>VISITAT</t>
  </si>
  <si>
    <t>Mr. Roc Wines &amp; Events</t>
  </si>
  <si>
    <t>Isaak Llargués</t>
  </si>
  <si>
    <t>686 28 36 57</t>
  </si>
  <si>
    <t>hola@mrrocwine.com</t>
  </si>
  <si>
    <t>Enviar e-mail</t>
  </si>
  <si>
    <t>Oriol Rossell S.A.</t>
  </si>
  <si>
    <t xml:space="preserve">Salvi </t>
  </si>
  <si>
    <t>669 807 871</t>
  </si>
  <si>
    <t>oriolrossell@oriolrossell.com</t>
  </si>
  <si>
    <t>S.C.S. Masens</t>
  </si>
  <si>
    <t>Toni Cuadrado</t>
  </si>
  <si>
    <t>625 208 688</t>
  </si>
  <si>
    <t>gerencia@scsmasens.com</t>
  </si>
  <si>
    <t>PRESENTAT</t>
  </si>
  <si>
    <t>Solà i Raventós / Colldejuí S.L.</t>
  </si>
  <si>
    <t>Guifré Raventós</t>
  </si>
  <si>
    <t>670 21 19 50</t>
  </si>
  <si>
    <t>guifre@solaraventos.com</t>
  </si>
  <si>
    <t>VISITAT 30/06</t>
  </si>
  <si>
    <t>Torrens Moliner</t>
  </si>
  <si>
    <t>Josep Torrens</t>
  </si>
  <si>
    <t>616 93 67 10</t>
  </si>
  <si>
    <t>tormol@torrensmoliner.com</t>
  </si>
  <si>
    <t>VISITAR SENSE CITA</t>
  </si>
  <si>
    <t>Vins AULADELL</t>
  </si>
  <si>
    <t>Jose Maria</t>
  </si>
  <si>
    <t>629 46 66 66</t>
  </si>
  <si>
    <t>info@vinsauladell.com</t>
  </si>
  <si>
    <t>Pendiente</t>
  </si>
  <si>
    <t>ENVIAT EMAIL</t>
  </si>
  <si>
    <t>Almirall SCP / Cava Almirall</t>
  </si>
  <si>
    <t>Joan Almirall</t>
  </si>
  <si>
    <t>659 36 92 18</t>
  </si>
  <si>
    <t>cava@almirallcava.com</t>
  </si>
  <si>
    <t>Artesano Vintners S.L.</t>
  </si>
  <si>
    <t>Mike Shepherd</t>
  </si>
  <si>
    <t>634 29 59 95</t>
  </si>
  <si>
    <t>mike@artesanovintners.com</t>
  </si>
  <si>
    <t>Seguimiento</t>
  </si>
  <si>
    <t>Bodega Ca N'Estella</t>
  </si>
  <si>
    <t>Oriol / Miquel Medall</t>
  </si>
  <si>
    <t>609 77 11 88</t>
  </si>
  <si>
    <t>bodega@fincacanestella.com</t>
  </si>
  <si>
    <t>REPETIRAN COMANDA ANY PASSAT</t>
  </si>
  <si>
    <t>BODEGA KATXINA</t>
  </si>
  <si>
    <t>Iñaki Zendoia</t>
  </si>
  <si>
    <t>617 90 94 74</t>
  </si>
  <si>
    <t>info@bodegakatxina.com</t>
  </si>
  <si>
    <t>Bodegas Pinord S.A.</t>
  </si>
  <si>
    <t>Joan Tetas / Sara Marco</t>
  </si>
  <si>
    <t>93 890 30 66</t>
  </si>
  <si>
    <t>MMOLET@PINORD.COM</t>
  </si>
  <si>
    <t>EMAIL ENVIAT</t>
  </si>
  <si>
    <t>Bodegues Sumarroca S.L.</t>
  </si>
  <si>
    <t>Oscar Llombart</t>
  </si>
  <si>
    <t>666 85 61 23</t>
  </si>
  <si>
    <t>ollombart@sumarroca.com</t>
  </si>
  <si>
    <t>INTERES DO PENEDÈS</t>
  </si>
  <si>
    <t>Can Quetu S.L.</t>
  </si>
  <si>
    <t>Jaume Quetu</t>
  </si>
  <si>
    <t>630 45 06 68</t>
  </si>
  <si>
    <t>canquetu@hotmail.com</t>
  </si>
  <si>
    <t>PORTO MOSTRES</t>
  </si>
  <si>
    <t>MOST DORÉ</t>
  </si>
  <si>
    <t>Gerardo Alcober</t>
  </si>
  <si>
    <t>658 926 026</t>
  </si>
  <si>
    <t>galcober@mostdore.com</t>
  </si>
  <si>
    <t>Canals i Munné S.L.</t>
  </si>
  <si>
    <t>Oscar Canals Medina</t>
  </si>
  <si>
    <t>629 91 28 83</t>
  </si>
  <si>
    <t>ocanals@canalsimunne.com</t>
  </si>
  <si>
    <t>Carbomas / Masolive S.A.</t>
  </si>
  <si>
    <t>Jaume o Montse Carbó</t>
  </si>
  <si>
    <t>93 891 0310</t>
  </si>
  <si>
    <t>info@cavamasolive.com</t>
  </si>
  <si>
    <t>Castelo Pedregosa S.L.</t>
  </si>
  <si>
    <t>Bartolo Pedregosa</t>
  </si>
  <si>
    <t>647 55 39 35</t>
  </si>
  <si>
    <t>b.pedregosa@castelodepedregosa.com</t>
  </si>
  <si>
    <t>Cava Bohigas</t>
  </si>
  <si>
    <t>Maria Casanovas Giró</t>
  </si>
  <si>
    <t>629 57 15 18</t>
  </si>
  <si>
    <t>factures@bohigas.es</t>
  </si>
  <si>
    <t>Cava Rovellats</t>
  </si>
  <si>
    <t>Manel Via</t>
  </si>
  <si>
    <t>679 521 402</t>
  </si>
  <si>
    <t>cava@cavarovellats.com</t>
  </si>
  <si>
    <t>ACLARIR TEMES MANEL</t>
  </si>
  <si>
    <t>Cava Rusines / Jaume Rosines Poch</t>
  </si>
  <si>
    <t>Jaume Rusines / Mercè</t>
  </si>
  <si>
    <t>673 376 216</t>
  </si>
  <si>
    <t>cavarusines@gmail.com</t>
  </si>
  <si>
    <t>TRUCAT</t>
  </si>
  <si>
    <t>Cava Sogas Mascaró</t>
  </si>
  <si>
    <t>Roger Sogas</t>
  </si>
  <si>
    <t>667 79 85 34</t>
  </si>
  <si>
    <t>roger@sogasmascaro.com</t>
  </si>
  <si>
    <t>Celler Can Batlle S.L.</t>
  </si>
  <si>
    <t>Eric Enguita</t>
  </si>
  <si>
    <t>647 906 742</t>
  </si>
  <si>
    <t>merce@artecava.com</t>
  </si>
  <si>
    <t>PASSAR AL JULIOL</t>
  </si>
  <si>
    <t>Celler Entrevinyes S.L.</t>
  </si>
  <si>
    <t>Josep Tort</t>
  </si>
  <si>
    <t>675 23 29 76</t>
  </si>
  <si>
    <t>josep@entrevinyes.com</t>
  </si>
  <si>
    <t>Celler Kripta S.A.U.</t>
  </si>
  <si>
    <t>Rebeca Ollé</t>
  </si>
  <si>
    <t>93 891 11 73</t>
  </si>
  <si>
    <t>finances@cellerkripta.com</t>
  </si>
  <si>
    <t>11:00 VISITA</t>
  </si>
  <si>
    <t>Celler Testuan SL</t>
  </si>
  <si>
    <t>Quim</t>
  </si>
  <si>
    <t>696 57 52 16</t>
  </si>
  <si>
    <t>info@testuan.com</t>
  </si>
  <si>
    <t>Celler Vell S.A.</t>
  </si>
  <si>
    <t>Josep Maria Estruch</t>
  </si>
  <si>
    <t>607 18 27 83</t>
  </si>
  <si>
    <t>info@cellervell.com</t>
  </si>
  <si>
    <t>Cellers Alsina S.L.</t>
  </si>
  <si>
    <t>Rubén Alsina</t>
  </si>
  <si>
    <t>606 38 16 24</t>
  </si>
  <si>
    <t>alsina@alsinasarda.com</t>
  </si>
  <si>
    <t>Conde Valicourt / Montserrat Martí</t>
  </si>
  <si>
    <t>Pere Martí Montserrat</t>
  </si>
  <si>
    <t>652 92 79 44</t>
  </si>
  <si>
    <t>as@condevalicourt.com</t>
  </si>
  <si>
    <t>Ferré i Catasús</t>
  </si>
  <si>
    <t>Núria Vilalta</t>
  </si>
  <si>
    <t>619 30 87 26</t>
  </si>
  <si>
    <t>enologia@ferreicatasus.com</t>
  </si>
  <si>
    <t>Finca Agrícola Parera</t>
  </si>
  <si>
    <t>Ruben Parera</t>
  </si>
  <si>
    <t>601 991 355</t>
  </si>
  <si>
    <t>kike@fincaparera.com</t>
  </si>
  <si>
    <t>PRESENAT A VITALPE</t>
  </si>
  <si>
    <t>Gaston Coty S.A.</t>
  </si>
  <si>
    <t>Carlos Martínez</t>
  </si>
  <si>
    <t>676 75 60 79</t>
  </si>
  <si>
    <t>carlos@lorigancava.com</t>
  </si>
  <si>
    <t>VISITAR AL JULIOL</t>
  </si>
  <si>
    <t>Giró Ribot S.L.</t>
  </si>
  <si>
    <t>Joan Rovira</t>
  </si>
  <si>
    <t>93 897 40 50 / 62</t>
  </si>
  <si>
    <t>joanrovira@giroribot.es</t>
  </si>
  <si>
    <t>Rebassaires</t>
  </si>
  <si>
    <t>Iñigo Huaghey</t>
  </si>
  <si>
    <t>626 36 89 76</t>
  </si>
  <si>
    <t>i.haughey@rabassaires.com</t>
  </si>
  <si>
    <t>NO CONTESTA</t>
  </si>
  <si>
    <t>Caves Butí Masana</t>
  </si>
  <si>
    <t>Manel Butí</t>
  </si>
  <si>
    <t>696 964 458</t>
  </si>
  <si>
    <t>butimasana@butimasana.com</t>
  </si>
  <si>
    <t>MIGUEL TORRES S.A.</t>
  </si>
  <si>
    <t>FREIXEDAS VINICOLA S.L.</t>
  </si>
  <si>
    <t>CAVAS DEL CASTILLO DE PERELADA</t>
  </si>
  <si>
    <t>BERRAL I MIRO SL</t>
  </si>
  <si>
    <t>VINICOLA DE GANDESA SL</t>
  </si>
  <si>
    <t>viticultura Ramon Junyent SCP</t>
  </si>
  <si>
    <t>CAVAS ST. MARTIN S.A</t>
  </si>
  <si>
    <t>MASIA VALLFORMOSA S.L</t>
  </si>
  <si>
    <t>CAVAS BERNARD MASSARD S.A.</t>
  </si>
  <si>
    <t>MASIA PUIGMOLTO S.L.</t>
  </si>
  <si>
    <t>ROQUETA ORIGEN S.L</t>
  </si>
  <si>
    <t>JOSEP MARIA RIBAS NOGUES</t>
  </si>
  <si>
    <t>PERE MARIMON MONTSERRAT</t>
  </si>
  <si>
    <t>CAL SABATE S.C.P</t>
  </si>
  <si>
    <t>EUGENI TORNER DURAN</t>
  </si>
  <si>
    <t>PERE SURIA PASCUAL</t>
  </si>
  <si>
    <t>NATIVITAT SONET DOMENECH</t>
  </si>
  <si>
    <t>CELLERS MOST DORÉ S.L</t>
  </si>
  <si>
    <t>AGRUPACIO VITICULTORS ARTESANA</t>
  </si>
  <si>
    <t>JOAN PAGES RIBA</t>
  </si>
  <si>
    <t>VICENTE RUBIO CASTILLO</t>
  </si>
  <si>
    <t>FINCA LA BARBARANA S.L</t>
  </si>
  <si>
    <t>IGNASI ROMEU SOLE</t>
  </si>
  <si>
    <t>JOAN RAVENTOS ROSELL S.L</t>
  </si>
  <si>
    <t>UNITED WINERIES ESTATES S.A.U</t>
  </si>
  <si>
    <t>MIQUEL ESCALA CAMPS</t>
  </si>
  <si>
    <t>CA L´EUGENI S.C.P</t>
  </si>
  <si>
    <t>UNIDAD TECNICA DE INNOVACION Y D</t>
  </si>
  <si>
    <t>ALBERT RAVENTOS SEGURA</t>
  </si>
  <si>
    <t>VINS NADAL S.L</t>
  </si>
  <si>
    <t>JOSEP MASACHS</t>
  </si>
  <si>
    <t>DERIVADOS VITIVINICOLES GARRIDO</t>
  </si>
  <si>
    <t>CELLER CAL FERU S.L</t>
  </si>
  <si>
    <t>LLUIS VICH SASTRE</t>
  </si>
  <si>
    <t>Aarstiderne a/s engros</t>
  </si>
  <si>
    <t>DIFUSION GASTRONOMICA S.L</t>
  </si>
  <si>
    <t>PERE BAQUES BAQUES</t>
  </si>
  <si>
    <t>BRINS D´OPORTUNITATS EMPRESA D´</t>
  </si>
  <si>
    <t>EUDALD PLANELLA CUTRINA</t>
  </si>
  <si>
    <t>L´OLIVERA SCCL- CAN CALOPA</t>
  </si>
  <si>
    <t>CA LA KATY S.L</t>
  </si>
  <si>
    <t>ALANI HIGIENE PROFESIONAL S.L.U</t>
  </si>
  <si>
    <t>GERARD MARISTANY BADELL</t>
  </si>
  <si>
    <t>CRM Clientes Activos Vitalpe</t>
  </si>
  <si>
    <t>Total clientes</t>
  </si>
  <si>
    <t>Prioridad A</t>
  </si>
  <si>
    <t>Pendientes</t>
  </si>
  <si>
    <t>Prioridad B</t>
  </si>
  <si>
    <t>Contactados</t>
  </si>
  <si>
    <t>Prioridad C</t>
  </si>
  <si>
    <t>Visita concertada</t>
  </si>
  <si>
    <t>Proceso recomendado</t>
  </si>
  <si>
    <t>1</t>
  </si>
  <si>
    <t>Llamar para presentarte y confirmar responsable</t>
  </si>
  <si>
    <t>2</t>
  </si>
  <si>
    <t>Concertar visita breve si hay buena disposición</t>
  </si>
  <si>
    <t>3</t>
  </si>
  <si>
    <t>Enviar e-mail solo como seguimiento o si no contestan</t>
  </si>
  <si>
    <t>4</t>
  </si>
  <si>
    <t>Actualizar estado y próxima acción después de cada contacto</t>
  </si>
  <si>
    <t>B</t>
  </si>
  <si>
    <t>C</t>
  </si>
  <si>
    <t>Sin interés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</si>
</sst>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/mm/yyyy"/>
    <numFmt numFmtId="165" formatCode="#,##0.00\ [$€-1]"/>
  </numFmts>
  <fonts count="6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  <font>
      <color theme="1"/>
      <name val="Carlito"/>
      <scheme val="minor"/>
    </font>
    <font>
      <b/>
      <sz val="11.0"/>
      <color theme="1"/>
      <name val="Carlito"/>
    </font>
    <font>
      <b/>
      <sz val="16.0"/>
      <color rgb="FFFFFFFF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234E52"/>
        <bgColor rgb="FF234E52"/>
      </patternFill>
    </fill>
    <fill>
      <patternFill patternType="solid">
        <fgColor rgb="FFFFE599"/>
        <bgColor rgb="FFFFE599"/>
      </patternFill>
    </fill>
    <fill>
      <patternFill patternType="solid">
        <fgColor rgb="FFFFF2CC"/>
        <bgColor rgb="FFFFF2CC"/>
      </patternFill>
    </fill>
    <fill>
      <patternFill patternType="solid">
        <fgColor rgb="FFFFD966"/>
        <bgColor rgb="FFFFD966"/>
      </patternFill>
    </fill>
    <fill>
      <patternFill patternType="solid">
        <fgColor rgb="FFE6F0EF"/>
        <bgColor rgb="FFE6F0EF"/>
      </patternFill>
    </fill>
  </fills>
  <borders count="1">
    <border/>
  </borders>
  <cellStyleXfs count="1">
    <xf borderId="0" fillId="0" fontId="0" numFmtId="0" applyAlignment="1" applyFont="1"/>
  </cellStyleXfs>
  <cellXfs count="3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top" wrapText="1"/>
    </xf>
    <xf borderId="0" fillId="3" fontId="2" numFmtId="0" xfId="0" applyAlignment="1" applyFill="1" applyFont="1">
      <alignment shrinkToFit="0" vertical="top" wrapText="1"/>
    </xf>
    <xf borderId="0" fillId="3" fontId="2" numFmtId="0" xfId="0" applyAlignment="1" applyFont="1">
      <alignment readingOrder="0" shrinkToFit="0" vertical="top" wrapText="1"/>
    </xf>
    <xf borderId="0" fillId="3" fontId="2" numFmtId="164" xfId="0" applyAlignment="1" applyFont="1" applyNumberFormat="1">
      <alignment readingOrder="0" shrinkToFit="0" vertical="top" wrapText="1"/>
    </xf>
    <xf borderId="0" fillId="3" fontId="3" numFmtId="0" xfId="0" applyFont="1"/>
    <xf borderId="0" fillId="4" fontId="2" numFmtId="0" xfId="0" applyAlignment="1" applyFill="1" applyFont="1">
      <alignment shrinkToFit="0" vertical="top" wrapText="1"/>
    </xf>
    <xf borderId="0" fillId="4" fontId="2" numFmtId="0" xfId="0" applyAlignment="1" applyFont="1">
      <alignment readingOrder="0" shrinkToFit="0" vertical="top" wrapText="1"/>
    </xf>
    <xf borderId="0" fillId="4" fontId="2" numFmtId="164" xfId="0" applyAlignment="1" applyFont="1" applyNumberFormat="1">
      <alignment readingOrder="0" shrinkToFit="0" vertical="top" wrapText="1"/>
    </xf>
    <xf borderId="0" fillId="4" fontId="3" numFmtId="0" xfId="0" applyFont="1"/>
    <xf borderId="0" fillId="0" fontId="2" numFmtId="0" xfId="0" applyAlignment="1" applyFont="1">
      <alignment shrinkToFit="0" vertical="top" wrapText="1"/>
    </xf>
    <xf borderId="0" fillId="0" fontId="2" numFmtId="0" xfId="0" applyAlignment="1" applyFont="1">
      <alignment readingOrder="0" shrinkToFit="0" vertical="top" wrapText="1"/>
    </xf>
    <xf borderId="0" fillId="0" fontId="2" numFmtId="164" xfId="0" applyAlignment="1" applyFont="1" applyNumberFormat="1">
      <alignment readingOrder="0" shrinkToFit="0" vertical="top" wrapText="1"/>
    </xf>
    <xf borderId="0" fillId="4" fontId="2" numFmtId="164" xfId="0" applyAlignment="1" applyFont="1" applyNumberFormat="1">
      <alignment shrinkToFit="0" vertical="top" wrapText="1"/>
    </xf>
    <xf borderId="0" fillId="3" fontId="2" numFmtId="164" xfId="0" applyAlignment="1" applyFont="1" applyNumberFormat="1">
      <alignment shrinkToFit="0" vertical="top" wrapText="1"/>
    </xf>
    <xf borderId="0" fillId="0" fontId="2" numFmtId="164" xfId="0" applyAlignment="1" applyFont="1" applyNumberFormat="1">
      <alignment shrinkToFit="0" vertical="top" wrapText="1"/>
    </xf>
    <xf borderId="0" fillId="3" fontId="4" numFmtId="0" xfId="0" applyAlignment="1" applyFont="1">
      <alignment shrinkToFit="0" vertical="top" wrapText="1"/>
    </xf>
    <xf borderId="0" fillId="5" fontId="2" numFmtId="0" xfId="0" applyAlignment="1" applyFill="1" applyFont="1">
      <alignment shrinkToFit="0" vertical="top" wrapText="1"/>
    </xf>
    <xf borderId="0" fillId="5" fontId="2" numFmtId="0" xfId="0" applyAlignment="1" applyFont="1">
      <alignment readingOrder="0" shrinkToFit="0" vertical="top" wrapText="1"/>
    </xf>
    <xf borderId="0" fillId="5" fontId="2" numFmtId="164" xfId="0" applyAlignment="1" applyFont="1" applyNumberFormat="1">
      <alignment readingOrder="0" shrinkToFit="0" vertical="top" wrapText="1"/>
    </xf>
    <xf borderId="0" fillId="5" fontId="2" numFmtId="164" xfId="0" applyAlignment="1" applyFont="1" applyNumberFormat="1">
      <alignment shrinkToFit="0" vertical="top" wrapText="1"/>
    </xf>
    <xf borderId="0" fillId="5" fontId="3" numFmtId="0" xfId="0" applyFont="1"/>
    <xf borderId="0" fillId="0" fontId="3" numFmtId="0" xfId="0" applyAlignment="1" applyFont="1">
      <alignment readingOrder="0"/>
    </xf>
    <xf borderId="0" fillId="4" fontId="3" numFmtId="0" xfId="0" applyAlignment="1" applyFont="1">
      <alignment readingOrder="0"/>
    </xf>
    <xf borderId="0" fillId="0" fontId="2" numFmtId="0" xfId="0" applyAlignment="1" applyFont="1">
      <alignment readingOrder="0" vertical="top"/>
    </xf>
    <xf borderId="0" fillId="0" fontId="2" numFmtId="0" xfId="0" applyAlignment="1" applyFont="1">
      <alignment shrinkToFit="0" vertical="top" wrapText="1"/>
    </xf>
    <xf borderId="0" fillId="0" fontId="2" numFmtId="0" xfId="0" applyAlignment="1" applyFont="1">
      <alignment readingOrder="0" shrinkToFit="0" vertical="top" wrapText="1"/>
    </xf>
    <xf borderId="0" fillId="0" fontId="2" numFmtId="165" xfId="0" applyAlignment="1" applyFont="1" applyNumberFormat="1">
      <alignment readingOrder="0" vertical="top"/>
    </xf>
    <xf borderId="0" fillId="2" fontId="5" numFmtId="0" xfId="0" applyAlignment="1" applyFont="1">
      <alignment horizontal="center"/>
    </xf>
    <xf borderId="0" fillId="6" fontId="4" numFmtId="0" xfId="0" applyFill="1" applyFont="1"/>
    <xf borderId="0" fillId="0" fontId="3" numFmtId="0" xfId="0" applyFont="1"/>
    <xf borderId="0" fillId="2" fontId="1" numFmtId="0" xfId="0" applyFont="1"/>
    <xf borderId="0" fillId="0" fontId="2" numFmtId="0" xfId="0" applyAlignment="1" applyFont="1">
      <alignment shrinkToFit="0" wrapText="1"/>
    </xf>
    <xf borderId="0" fillId="2" fontId="1" numFmtId="0" xfId="0" applyAlignment="1" applyFont="1">
      <alignment horizontal="center" shrinkToFit="0" vertical="center" wrapText="1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FDE68A"/>
          <bgColor rgb="FFFDE68A"/>
        </patternFill>
      </fill>
      <border/>
    </dxf>
    <dxf>
      <font/>
      <fill>
        <patternFill patternType="solid">
          <fgColor rgb="FFDBEAFE"/>
          <bgColor rgb="FFDBEAFE"/>
        </patternFill>
      </fill>
      <border/>
    </dxf>
    <dxf>
      <font/>
      <fill>
        <patternFill patternType="solid">
          <fgColor rgb="FFDCFCE7"/>
          <bgColor rgb="FFDCFCE7"/>
        </patternFill>
      </fill>
      <border/>
    </dxf>
    <dxf>
      <font/>
      <fill>
        <patternFill patternType="solid">
          <fgColor rgb="FFFEE2E2"/>
          <bgColor rgb="FFFEE2E2"/>
        </patternFill>
      </fill>
      <border/>
    </dxf>
  </dxfs>
  <tableStyles count="1">
    <tableStyle count="3" pivot="0" name="CRM Activo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J84" displayName="Table_1" name="Table_1" id="1">
  <tableColumns count="10">
    <tableColumn name="Empresa" id="1"/>
    <tableColumn name="Contacto" id="2"/>
    <tableColumn name="Teléfono" id="3"/>
    <tableColumn name="Email" id="4"/>
    <tableColumn name="Prioridad" id="5"/>
    <tableColumn name="Estado" id="6"/>
    <tableColumn name="Último contacto" id="7"/>
    <tableColumn name="Próxima acción" id="8"/>
    <tableColumn name="Fecha próxima acción" id="9"/>
    <tableColumn name="Resultado llamada" id="10"/>
  </tableColumns>
  <tableStyleInfo name="CRM Activo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13"/>
    <col customWidth="1" min="2" max="2" width="24.0"/>
    <col customWidth="1" min="3" max="3" width="16.0"/>
    <col customWidth="1" min="4" max="4" width="32.0"/>
    <col customWidth="1" min="5" max="5" width="4.63"/>
    <col customWidth="1" min="6" max="6" width="18.0"/>
    <col customWidth="1" min="7" max="7" width="11.13"/>
    <col customWidth="1" min="8" max="8" width="18.0"/>
    <col customWidth="1" min="9" max="9" width="10.5"/>
    <col customWidth="1" min="10" max="10" width="28.0"/>
    <col customWidth="1" min="11" max="25" width="8.63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>
      <c r="A2" s="2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3" t="s">
        <v>15</v>
      </c>
      <c r="G2" s="4">
        <v>46188.0</v>
      </c>
      <c r="H2" s="3" t="s">
        <v>16</v>
      </c>
      <c r="I2" s="3" t="s">
        <v>17</v>
      </c>
      <c r="J2" s="3" t="s">
        <v>18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</row>
    <row r="3">
      <c r="A3" s="6" t="s">
        <v>19</v>
      </c>
      <c r="B3" s="6" t="s">
        <v>20</v>
      </c>
      <c r="C3" s="6" t="s">
        <v>21</v>
      </c>
      <c r="D3" s="6" t="s">
        <v>22</v>
      </c>
      <c r="E3" s="6" t="s">
        <v>14</v>
      </c>
      <c r="F3" s="7" t="s">
        <v>15</v>
      </c>
      <c r="G3" s="8">
        <v>46188.0</v>
      </c>
      <c r="H3" s="7" t="s">
        <v>16</v>
      </c>
      <c r="I3" s="8">
        <v>46195.0</v>
      </c>
      <c r="J3" s="7" t="s">
        <v>23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</row>
    <row r="4">
      <c r="A4" s="10" t="s">
        <v>24</v>
      </c>
      <c r="B4" s="10" t="s">
        <v>25</v>
      </c>
      <c r="C4" s="10" t="s">
        <v>26</v>
      </c>
      <c r="D4" s="10" t="s">
        <v>27</v>
      </c>
      <c r="E4" s="10" t="s">
        <v>14</v>
      </c>
      <c r="F4" s="11" t="s">
        <v>15</v>
      </c>
      <c r="G4" s="12">
        <v>46188.0</v>
      </c>
      <c r="H4" s="11" t="s">
        <v>16</v>
      </c>
      <c r="I4" s="12">
        <v>46195.0</v>
      </c>
      <c r="J4" s="11" t="s">
        <v>28</v>
      </c>
    </row>
    <row r="5">
      <c r="A5" s="6" t="s">
        <v>29</v>
      </c>
      <c r="B5" s="6" t="s">
        <v>30</v>
      </c>
      <c r="C5" s="6" t="s">
        <v>31</v>
      </c>
      <c r="D5" s="6" t="s">
        <v>32</v>
      </c>
      <c r="E5" s="6" t="s">
        <v>14</v>
      </c>
      <c r="F5" s="7" t="s">
        <v>33</v>
      </c>
      <c r="G5" s="8">
        <v>46188.0</v>
      </c>
      <c r="H5" s="7" t="s">
        <v>34</v>
      </c>
      <c r="I5" s="13"/>
      <c r="J5" s="7" t="s">
        <v>35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</row>
    <row r="6">
      <c r="A6" s="2" t="s">
        <v>36</v>
      </c>
      <c r="B6" s="3" t="s">
        <v>37</v>
      </c>
      <c r="C6" s="2" t="s">
        <v>38</v>
      </c>
      <c r="D6" s="2" t="s">
        <v>39</v>
      </c>
      <c r="E6" s="2" t="s">
        <v>14</v>
      </c>
      <c r="F6" s="3" t="s">
        <v>33</v>
      </c>
      <c r="G6" s="4">
        <v>46188.0</v>
      </c>
      <c r="H6" s="3" t="s">
        <v>40</v>
      </c>
      <c r="I6" s="4">
        <v>46204.0</v>
      </c>
      <c r="J6" s="3" t="s">
        <v>41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>
      <c r="A7" s="2" t="s">
        <v>42</v>
      </c>
      <c r="B7" s="2" t="s">
        <v>43</v>
      </c>
      <c r="C7" s="2" t="s">
        <v>44</v>
      </c>
      <c r="D7" s="2" t="s">
        <v>45</v>
      </c>
      <c r="E7" s="2" t="s">
        <v>14</v>
      </c>
      <c r="F7" s="3" t="s">
        <v>33</v>
      </c>
      <c r="G7" s="4">
        <v>46188.0</v>
      </c>
      <c r="H7" s="3" t="s">
        <v>34</v>
      </c>
      <c r="I7" s="14"/>
      <c r="J7" s="3" t="s">
        <v>46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>
      <c r="A8" s="10" t="s">
        <v>47</v>
      </c>
      <c r="B8" s="10" t="s">
        <v>48</v>
      </c>
      <c r="C8" s="10" t="s">
        <v>49</v>
      </c>
      <c r="D8" s="10" t="s">
        <v>50</v>
      </c>
      <c r="E8" s="10" t="s">
        <v>14</v>
      </c>
      <c r="F8" s="11" t="s">
        <v>15</v>
      </c>
      <c r="G8" s="12">
        <v>46188.0</v>
      </c>
      <c r="H8" s="11" t="s">
        <v>51</v>
      </c>
      <c r="I8" s="15"/>
      <c r="J8" s="10"/>
    </row>
    <row r="9">
      <c r="A9" s="2" t="s">
        <v>52</v>
      </c>
      <c r="B9" s="3" t="s">
        <v>53</v>
      </c>
      <c r="C9" s="3" t="s">
        <v>54</v>
      </c>
      <c r="D9" s="2" t="s">
        <v>55</v>
      </c>
      <c r="E9" s="2" t="s">
        <v>14</v>
      </c>
      <c r="F9" s="3" t="s">
        <v>15</v>
      </c>
      <c r="G9" s="4">
        <v>46188.0</v>
      </c>
      <c r="H9" s="3" t="s">
        <v>34</v>
      </c>
      <c r="I9" s="14"/>
      <c r="J9" s="2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>
      <c r="A10" s="10" t="s">
        <v>56</v>
      </c>
      <c r="B10" s="10" t="s">
        <v>57</v>
      </c>
      <c r="C10" s="10" t="s">
        <v>58</v>
      </c>
      <c r="D10" s="10" t="s">
        <v>59</v>
      </c>
      <c r="E10" s="10" t="s">
        <v>14</v>
      </c>
      <c r="F10" s="11" t="s">
        <v>15</v>
      </c>
      <c r="G10" s="12">
        <v>46188.0</v>
      </c>
      <c r="H10" s="11" t="s">
        <v>16</v>
      </c>
      <c r="I10" s="12">
        <v>46195.0</v>
      </c>
      <c r="J10" s="11" t="s">
        <v>60</v>
      </c>
    </row>
    <row r="11">
      <c r="A11" s="2" t="s">
        <v>61</v>
      </c>
      <c r="B11" s="16" t="s">
        <v>62</v>
      </c>
      <c r="C11" s="2" t="s">
        <v>63</v>
      </c>
      <c r="D11" s="2" t="s">
        <v>64</v>
      </c>
      <c r="E11" s="2" t="s">
        <v>14</v>
      </c>
      <c r="F11" s="3" t="s">
        <v>33</v>
      </c>
      <c r="G11" s="4">
        <v>46188.0</v>
      </c>
      <c r="H11" s="3" t="s">
        <v>16</v>
      </c>
      <c r="I11" s="3" t="s">
        <v>17</v>
      </c>
      <c r="J11" s="3" t="s">
        <v>65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</row>
    <row r="12">
      <c r="A12" s="10" t="s">
        <v>66</v>
      </c>
      <c r="B12" s="10" t="s">
        <v>67</v>
      </c>
      <c r="C12" s="10" t="s">
        <v>68</v>
      </c>
      <c r="D12" s="10" t="s">
        <v>69</v>
      </c>
      <c r="E12" s="10" t="s">
        <v>14</v>
      </c>
      <c r="F12" s="11" t="s">
        <v>15</v>
      </c>
      <c r="G12" s="12">
        <v>46188.0</v>
      </c>
      <c r="H12" s="11" t="s">
        <v>40</v>
      </c>
      <c r="I12" s="12">
        <v>46196.0</v>
      </c>
      <c r="J12" s="11" t="s">
        <v>70</v>
      </c>
    </row>
    <row r="13">
      <c r="A13" s="11" t="s">
        <v>71</v>
      </c>
      <c r="B13" s="10" t="s">
        <v>72</v>
      </c>
      <c r="C13" s="10" t="s">
        <v>73</v>
      </c>
      <c r="D13" s="11" t="s">
        <v>74</v>
      </c>
      <c r="E13" s="10" t="s">
        <v>14</v>
      </c>
      <c r="F13" s="11" t="s">
        <v>75</v>
      </c>
      <c r="G13" s="12">
        <v>46188.0</v>
      </c>
      <c r="H13" s="11" t="s">
        <v>34</v>
      </c>
      <c r="I13" s="15"/>
      <c r="J13" s="11" t="s">
        <v>76</v>
      </c>
    </row>
    <row r="14">
      <c r="A14" s="10" t="s">
        <v>77</v>
      </c>
      <c r="B14" s="10" t="s">
        <v>78</v>
      </c>
      <c r="C14" s="10" t="s">
        <v>79</v>
      </c>
      <c r="D14" s="10" t="s">
        <v>80</v>
      </c>
      <c r="E14" s="10" t="s">
        <v>14</v>
      </c>
      <c r="F14" s="11" t="s">
        <v>15</v>
      </c>
      <c r="G14" s="12">
        <v>46188.0</v>
      </c>
      <c r="H14" s="11" t="s">
        <v>34</v>
      </c>
      <c r="I14" s="15"/>
      <c r="J14" s="10"/>
    </row>
    <row r="15">
      <c r="A15" s="17" t="s">
        <v>81</v>
      </c>
      <c r="B15" s="17" t="s">
        <v>82</v>
      </c>
      <c r="C15" s="17" t="s">
        <v>83</v>
      </c>
      <c r="D15" s="17" t="s">
        <v>84</v>
      </c>
      <c r="E15" s="17" t="s">
        <v>14</v>
      </c>
      <c r="F15" s="18" t="s">
        <v>15</v>
      </c>
      <c r="G15" s="19">
        <v>46188.0</v>
      </c>
      <c r="H15" s="18" t="s">
        <v>85</v>
      </c>
      <c r="I15" s="20"/>
      <c r="J15" s="1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>
      <c r="A16" s="10" t="s">
        <v>86</v>
      </c>
      <c r="B16" s="10" t="s">
        <v>87</v>
      </c>
      <c r="C16" s="10" t="s">
        <v>88</v>
      </c>
      <c r="D16" s="10" t="s">
        <v>89</v>
      </c>
      <c r="E16" s="10" t="s">
        <v>14</v>
      </c>
      <c r="F16" s="11" t="s">
        <v>15</v>
      </c>
      <c r="G16" s="12">
        <v>46188.0</v>
      </c>
      <c r="H16" s="11" t="s">
        <v>16</v>
      </c>
      <c r="I16" s="12">
        <v>46202.0</v>
      </c>
      <c r="J16" s="11" t="s">
        <v>90</v>
      </c>
    </row>
    <row r="17">
      <c r="A17" s="2" t="s">
        <v>91</v>
      </c>
      <c r="B17" s="2" t="s">
        <v>92</v>
      </c>
      <c r="C17" s="2" t="s">
        <v>93</v>
      </c>
      <c r="D17" s="2" t="s">
        <v>94</v>
      </c>
      <c r="E17" s="2" t="s">
        <v>14</v>
      </c>
      <c r="F17" s="3" t="s">
        <v>15</v>
      </c>
      <c r="G17" s="4">
        <v>46188.0</v>
      </c>
      <c r="H17" s="3" t="s">
        <v>34</v>
      </c>
      <c r="I17" s="14"/>
      <c r="J17" s="2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>
      <c r="A18" s="10" t="s">
        <v>95</v>
      </c>
      <c r="B18" s="10" t="s">
        <v>96</v>
      </c>
      <c r="C18" s="10" t="s">
        <v>97</v>
      </c>
      <c r="D18" s="11" t="s">
        <v>98</v>
      </c>
      <c r="E18" s="10" t="s">
        <v>14</v>
      </c>
      <c r="F18" s="11" t="s">
        <v>15</v>
      </c>
      <c r="G18" s="12">
        <v>46188.0</v>
      </c>
      <c r="H18" s="11" t="s">
        <v>51</v>
      </c>
      <c r="I18" s="15"/>
      <c r="J18" s="11" t="s">
        <v>99</v>
      </c>
    </row>
    <row r="19">
      <c r="A19" s="10" t="s">
        <v>100</v>
      </c>
      <c r="B19" s="10" t="s">
        <v>101</v>
      </c>
      <c r="C19" s="10" t="s">
        <v>102</v>
      </c>
      <c r="D19" s="10" t="s">
        <v>103</v>
      </c>
      <c r="E19" s="10" t="s">
        <v>14</v>
      </c>
      <c r="F19" s="11" t="s">
        <v>33</v>
      </c>
      <c r="G19" s="12">
        <v>46188.0</v>
      </c>
      <c r="H19" s="11" t="s">
        <v>40</v>
      </c>
      <c r="I19" s="22" t="s">
        <v>17</v>
      </c>
      <c r="J19" s="11" t="s">
        <v>104</v>
      </c>
    </row>
    <row r="20">
      <c r="A20" s="2" t="s">
        <v>105</v>
      </c>
      <c r="B20" s="2" t="s">
        <v>106</v>
      </c>
      <c r="C20" s="2" t="s">
        <v>107</v>
      </c>
      <c r="D20" s="2" t="s">
        <v>108</v>
      </c>
      <c r="E20" s="2" t="s">
        <v>14</v>
      </c>
      <c r="F20" s="3" t="s">
        <v>33</v>
      </c>
      <c r="G20" s="4">
        <v>46188.0</v>
      </c>
      <c r="H20" s="3" t="s">
        <v>85</v>
      </c>
      <c r="I20" s="4">
        <v>46196.0</v>
      </c>
      <c r="J20" s="3" t="s">
        <v>109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</row>
    <row r="21" ht="15.75" customHeight="1">
      <c r="A21" s="7" t="s">
        <v>110</v>
      </c>
      <c r="B21" s="7" t="s">
        <v>111</v>
      </c>
      <c r="C21" s="23" t="s">
        <v>112</v>
      </c>
      <c r="D21" s="7" t="s">
        <v>113</v>
      </c>
      <c r="E21" s="6" t="s">
        <v>14</v>
      </c>
      <c r="F21" s="7" t="s">
        <v>15</v>
      </c>
      <c r="G21" s="8">
        <v>46188.0</v>
      </c>
      <c r="H21" s="7" t="s">
        <v>51</v>
      </c>
      <c r="I21" s="13"/>
      <c r="J21" s="7" t="s">
        <v>99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</row>
    <row r="22" ht="15.75" customHeight="1">
      <c r="A22" s="2" t="s">
        <v>114</v>
      </c>
      <c r="B22" s="2" t="s">
        <v>115</v>
      </c>
      <c r="C22" s="2" t="s">
        <v>116</v>
      </c>
      <c r="D22" s="2" t="s">
        <v>117</v>
      </c>
      <c r="E22" s="2" t="s">
        <v>14</v>
      </c>
      <c r="F22" s="3" t="s">
        <v>15</v>
      </c>
      <c r="G22" s="4">
        <v>46188.0</v>
      </c>
      <c r="H22" s="3" t="s">
        <v>40</v>
      </c>
      <c r="I22" s="14"/>
      <c r="J22" s="2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</row>
    <row r="23" ht="15.75" customHeight="1">
      <c r="A23" s="17" t="s">
        <v>118</v>
      </c>
      <c r="B23" s="17" t="s">
        <v>119</v>
      </c>
      <c r="C23" s="17" t="s">
        <v>120</v>
      </c>
      <c r="D23" s="17" t="s">
        <v>121</v>
      </c>
      <c r="E23" s="17" t="s">
        <v>14</v>
      </c>
      <c r="F23" s="18" t="s">
        <v>33</v>
      </c>
      <c r="G23" s="19">
        <v>46188.0</v>
      </c>
      <c r="H23" s="18" t="s">
        <v>34</v>
      </c>
      <c r="I23" s="20"/>
      <c r="J23" s="18" t="s">
        <v>46</v>
      </c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ht="15.75" customHeight="1">
      <c r="A24" s="10" t="s">
        <v>122</v>
      </c>
      <c r="B24" s="10" t="s">
        <v>123</v>
      </c>
      <c r="C24" s="10" t="s">
        <v>124</v>
      </c>
      <c r="D24" s="10" t="s">
        <v>125</v>
      </c>
      <c r="E24" s="10" t="s">
        <v>14</v>
      </c>
      <c r="F24" s="11" t="s">
        <v>15</v>
      </c>
      <c r="G24" s="12">
        <v>46188.0</v>
      </c>
      <c r="H24" s="11" t="s">
        <v>34</v>
      </c>
      <c r="I24" s="15"/>
      <c r="J24" s="10"/>
    </row>
    <row r="25" ht="15.75" customHeight="1">
      <c r="A25" s="10" t="s">
        <v>126</v>
      </c>
      <c r="B25" s="10" t="s">
        <v>127</v>
      </c>
      <c r="C25" s="10" t="s">
        <v>128</v>
      </c>
      <c r="D25" s="10" t="s">
        <v>129</v>
      </c>
      <c r="E25" s="10" t="s">
        <v>14</v>
      </c>
      <c r="F25" s="11" t="s">
        <v>15</v>
      </c>
      <c r="G25" s="12">
        <v>46188.0</v>
      </c>
      <c r="H25" s="11" t="s">
        <v>85</v>
      </c>
      <c r="I25" s="15"/>
      <c r="J25" s="10"/>
    </row>
    <row r="26" ht="15.75" customHeight="1">
      <c r="A26" s="10" t="s">
        <v>130</v>
      </c>
      <c r="B26" s="10" t="s">
        <v>131</v>
      </c>
      <c r="C26" s="11" t="s">
        <v>132</v>
      </c>
      <c r="D26" s="10" t="s">
        <v>133</v>
      </c>
      <c r="E26" s="10" t="s">
        <v>14</v>
      </c>
      <c r="F26" s="11" t="s">
        <v>15</v>
      </c>
      <c r="G26" s="12">
        <v>46188.0</v>
      </c>
      <c r="H26" s="11" t="s">
        <v>34</v>
      </c>
      <c r="I26" s="15"/>
      <c r="J26" s="11" t="s">
        <v>134</v>
      </c>
    </row>
    <row r="27" ht="15.75" customHeight="1">
      <c r="A27" s="10" t="s">
        <v>135</v>
      </c>
      <c r="B27" s="10" t="s">
        <v>136</v>
      </c>
      <c r="C27" s="10" t="s">
        <v>137</v>
      </c>
      <c r="D27" s="10" t="s">
        <v>138</v>
      </c>
      <c r="E27" s="10" t="s">
        <v>14</v>
      </c>
      <c r="F27" s="11" t="s">
        <v>15</v>
      </c>
      <c r="G27" s="12">
        <v>46188.0</v>
      </c>
      <c r="H27" s="11" t="s">
        <v>34</v>
      </c>
      <c r="I27" s="15"/>
      <c r="J27" s="11" t="s">
        <v>139</v>
      </c>
    </row>
    <row r="28" ht="15.75" customHeight="1">
      <c r="A28" s="10" t="s">
        <v>140</v>
      </c>
      <c r="B28" s="10" t="s">
        <v>141</v>
      </c>
      <c r="C28" s="11" t="s">
        <v>142</v>
      </c>
      <c r="D28" s="10" t="s">
        <v>143</v>
      </c>
      <c r="E28" s="10" t="s">
        <v>14</v>
      </c>
      <c r="F28" s="11" t="s">
        <v>15</v>
      </c>
      <c r="G28" s="12">
        <v>46188.0</v>
      </c>
      <c r="H28" s="11" t="s">
        <v>34</v>
      </c>
      <c r="I28" s="15"/>
      <c r="J28" s="10"/>
    </row>
    <row r="29" ht="15.75" customHeight="1">
      <c r="A29" s="10" t="s">
        <v>144</v>
      </c>
      <c r="B29" s="10" t="s">
        <v>145</v>
      </c>
      <c r="C29" s="11" t="s">
        <v>146</v>
      </c>
      <c r="D29" s="10" t="s">
        <v>147</v>
      </c>
      <c r="E29" s="10" t="s">
        <v>14</v>
      </c>
      <c r="F29" s="11" t="s">
        <v>15</v>
      </c>
      <c r="G29" s="12">
        <v>46188.0</v>
      </c>
      <c r="H29" s="11" t="s">
        <v>40</v>
      </c>
      <c r="I29" s="15"/>
      <c r="J29" s="11" t="s">
        <v>148</v>
      </c>
    </row>
    <row r="30" ht="15.75" customHeight="1">
      <c r="A30" s="10" t="s">
        <v>149</v>
      </c>
      <c r="B30" s="10" t="s">
        <v>150</v>
      </c>
      <c r="C30" s="10" t="s">
        <v>151</v>
      </c>
      <c r="D30" s="10" t="s">
        <v>152</v>
      </c>
      <c r="E30" s="10" t="s">
        <v>14</v>
      </c>
      <c r="F30" s="11" t="s">
        <v>15</v>
      </c>
      <c r="G30" s="12">
        <v>46188.0</v>
      </c>
      <c r="H30" s="11" t="s">
        <v>40</v>
      </c>
      <c r="I30" s="15"/>
      <c r="J30" s="11" t="s">
        <v>139</v>
      </c>
    </row>
    <row r="31" ht="15.75" customHeight="1">
      <c r="A31" s="2" t="s">
        <v>153</v>
      </c>
      <c r="B31" s="2" t="s">
        <v>154</v>
      </c>
      <c r="C31" s="2" t="s">
        <v>155</v>
      </c>
      <c r="D31" s="2" t="s">
        <v>156</v>
      </c>
      <c r="E31" s="2" t="s">
        <v>14</v>
      </c>
      <c r="F31" s="3" t="s">
        <v>33</v>
      </c>
      <c r="G31" s="4">
        <v>46188.0</v>
      </c>
      <c r="H31" s="3" t="s">
        <v>40</v>
      </c>
      <c r="I31" s="4">
        <v>46204.0</v>
      </c>
      <c r="J31" s="3" t="s">
        <v>157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ht="15.75" customHeight="1">
      <c r="A32" s="10" t="s">
        <v>158</v>
      </c>
      <c r="B32" s="10" t="s">
        <v>159</v>
      </c>
      <c r="C32" s="10" t="s">
        <v>160</v>
      </c>
      <c r="D32" s="10" t="s">
        <v>161</v>
      </c>
      <c r="E32" s="10" t="s">
        <v>14</v>
      </c>
      <c r="F32" s="11" t="s">
        <v>75</v>
      </c>
      <c r="G32" s="12">
        <v>46188.0</v>
      </c>
      <c r="H32" s="11" t="s">
        <v>51</v>
      </c>
      <c r="I32" s="15"/>
      <c r="J32" s="10"/>
    </row>
    <row r="33" ht="15.75" customHeight="1">
      <c r="A33" s="10" t="s">
        <v>162</v>
      </c>
      <c r="B33" s="10" t="s">
        <v>163</v>
      </c>
      <c r="C33" s="10" t="s">
        <v>164</v>
      </c>
      <c r="D33" s="10" t="s">
        <v>165</v>
      </c>
      <c r="E33" s="10" t="s">
        <v>14</v>
      </c>
      <c r="F33" s="11" t="s">
        <v>15</v>
      </c>
      <c r="G33" s="12">
        <v>46188.0</v>
      </c>
      <c r="H33" s="11" t="s">
        <v>34</v>
      </c>
      <c r="I33" s="15"/>
      <c r="J33" s="10"/>
    </row>
    <row r="34" ht="15.75" customHeight="1">
      <c r="A34" s="10" t="s">
        <v>166</v>
      </c>
      <c r="B34" s="10" t="s">
        <v>167</v>
      </c>
      <c r="C34" s="10" t="s">
        <v>168</v>
      </c>
      <c r="D34" s="10" t="s">
        <v>169</v>
      </c>
      <c r="E34" s="10" t="s">
        <v>14</v>
      </c>
      <c r="F34" s="11" t="s">
        <v>15</v>
      </c>
      <c r="G34" s="12">
        <v>46188.0</v>
      </c>
      <c r="H34" s="11" t="s">
        <v>34</v>
      </c>
      <c r="I34" s="15"/>
      <c r="J34" s="10"/>
    </row>
    <row r="35" ht="15.75" customHeight="1">
      <c r="A35" s="10" t="s">
        <v>170</v>
      </c>
      <c r="B35" s="10" t="s">
        <v>171</v>
      </c>
      <c r="C35" s="10" t="s">
        <v>172</v>
      </c>
      <c r="D35" s="10" t="s">
        <v>173</v>
      </c>
      <c r="E35" s="10" t="s">
        <v>14</v>
      </c>
      <c r="F35" s="11" t="s">
        <v>15</v>
      </c>
      <c r="G35" s="12">
        <v>46188.0</v>
      </c>
      <c r="H35" s="11" t="s">
        <v>34</v>
      </c>
      <c r="I35" s="15"/>
      <c r="J35" s="10"/>
    </row>
    <row r="36" ht="15.75" customHeight="1">
      <c r="A36" s="2" t="s">
        <v>174</v>
      </c>
      <c r="B36" s="2" t="s">
        <v>175</v>
      </c>
      <c r="C36" s="2" t="s">
        <v>176</v>
      </c>
      <c r="D36" s="2" t="s">
        <v>177</v>
      </c>
      <c r="E36" s="2" t="s">
        <v>14</v>
      </c>
      <c r="F36" s="3" t="s">
        <v>33</v>
      </c>
      <c r="G36" s="4">
        <v>46188.0</v>
      </c>
      <c r="H36" s="3" t="s">
        <v>40</v>
      </c>
      <c r="I36" s="14"/>
      <c r="J36" s="2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</row>
    <row r="37" ht="15.75" customHeight="1">
      <c r="A37" s="2" t="s">
        <v>178</v>
      </c>
      <c r="B37" s="2" t="s">
        <v>179</v>
      </c>
      <c r="C37" s="2" t="s">
        <v>180</v>
      </c>
      <c r="D37" s="2" t="s">
        <v>181</v>
      </c>
      <c r="E37" s="2" t="s">
        <v>14</v>
      </c>
      <c r="F37" s="3" t="s">
        <v>33</v>
      </c>
      <c r="G37" s="4">
        <v>46188.0</v>
      </c>
      <c r="H37" s="3" t="s">
        <v>85</v>
      </c>
      <c r="I37" s="14"/>
      <c r="J37" s="3" t="s">
        <v>182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</row>
    <row r="38" ht="15.75" customHeight="1">
      <c r="A38" s="10" t="s">
        <v>183</v>
      </c>
      <c r="B38" s="10" t="s">
        <v>184</v>
      </c>
      <c r="C38" s="10" t="s">
        <v>185</v>
      </c>
      <c r="D38" s="10" t="s">
        <v>186</v>
      </c>
      <c r="E38" s="10" t="s">
        <v>14</v>
      </c>
      <c r="F38" s="11" t="s">
        <v>15</v>
      </c>
      <c r="G38" s="12">
        <v>46188.0</v>
      </c>
      <c r="H38" s="11" t="s">
        <v>16</v>
      </c>
      <c r="I38" s="12">
        <v>46204.0</v>
      </c>
      <c r="J38" s="11" t="s">
        <v>187</v>
      </c>
    </row>
    <row r="39" ht="15.75" customHeight="1">
      <c r="A39" s="10" t="s">
        <v>188</v>
      </c>
      <c r="B39" s="10" t="s">
        <v>189</v>
      </c>
      <c r="C39" s="10" t="s">
        <v>190</v>
      </c>
      <c r="D39" s="10" t="s">
        <v>191</v>
      </c>
      <c r="E39" s="10" t="s">
        <v>14</v>
      </c>
      <c r="F39" s="11" t="s">
        <v>15</v>
      </c>
      <c r="G39" s="12">
        <v>46188.0</v>
      </c>
      <c r="H39" s="11" t="s">
        <v>34</v>
      </c>
      <c r="I39" s="15"/>
      <c r="J39" s="11" t="s">
        <v>139</v>
      </c>
    </row>
    <row r="40" ht="15.75" customHeight="1">
      <c r="A40" s="10" t="s">
        <v>192</v>
      </c>
      <c r="B40" s="10" t="s">
        <v>193</v>
      </c>
      <c r="C40" s="10" t="s">
        <v>194</v>
      </c>
      <c r="D40" s="10" t="s">
        <v>195</v>
      </c>
      <c r="E40" s="10" t="s">
        <v>14</v>
      </c>
      <c r="F40" s="11" t="s">
        <v>75</v>
      </c>
      <c r="G40" s="12">
        <v>46188.0</v>
      </c>
      <c r="H40" s="11" t="s">
        <v>51</v>
      </c>
      <c r="I40" s="15"/>
      <c r="J40" s="11" t="s">
        <v>196</v>
      </c>
    </row>
    <row r="41" ht="15.75" customHeight="1">
      <c r="A41" s="11" t="s">
        <v>197</v>
      </c>
      <c r="B41" s="10" t="s">
        <v>198</v>
      </c>
      <c r="C41" s="10" t="s">
        <v>199</v>
      </c>
      <c r="D41" s="11" t="s">
        <v>200</v>
      </c>
      <c r="E41" s="10" t="s">
        <v>14</v>
      </c>
      <c r="F41" s="11" t="s">
        <v>75</v>
      </c>
      <c r="G41" s="12">
        <v>46188.0</v>
      </c>
      <c r="H41" s="11" t="s">
        <v>51</v>
      </c>
      <c r="I41" s="15"/>
      <c r="J41" s="10"/>
    </row>
    <row r="42" ht="15.75" customHeight="1">
      <c r="A42" s="24" t="s">
        <v>201</v>
      </c>
      <c r="B42" s="25"/>
      <c r="C42" s="25"/>
      <c r="D42" s="26"/>
      <c r="E42" s="25"/>
      <c r="F42" s="11" t="s">
        <v>75</v>
      </c>
      <c r="G42" s="26"/>
      <c r="H42" s="26"/>
      <c r="I42" s="25"/>
      <c r="J42" s="25"/>
    </row>
    <row r="43" ht="15.75" customHeight="1">
      <c r="A43" s="27" t="s">
        <v>202</v>
      </c>
      <c r="B43" s="25"/>
      <c r="C43" s="25"/>
      <c r="D43" s="26"/>
      <c r="E43" s="25"/>
      <c r="F43" s="11" t="s">
        <v>75</v>
      </c>
      <c r="G43" s="26"/>
      <c r="H43" s="26"/>
      <c r="I43" s="25"/>
      <c r="J43" s="25"/>
    </row>
    <row r="44" ht="15.75" customHeight="1">
      <c r="A44" s="24" t="s">
        <v>203</v>
      </c>
      <c r="B44" s="25"/>
      <c r="C44" s="25"/>
      <c r="D44" s="26"/>
      <c r="E44" s="25"/>
      <c r="F44" s="11" t="s">
        <v>75</v>
      </c>
      <c r="G44" s="26"/>
      <c r="H44" s="26"/>
      <c r="I44" s="25"/>
      <c r="J44" s="25"/>
    </row>
    <row r="45" ht="15.75" customHeight="1">
      <c r="A45" s="24" t="s">
        <v>204</v>
      </c>
      <c r="B45" s="25"/>
      <c r="C45" s="25"/>
      <c r="D45" s="26"/>
      <c r="E45" s="25"/>
      <c r="F45" s="11" t="s">
        <v>33</v>
      </c>
      <c r="G45" s="26"/>
      <c r="H45" s="26"/>
      <c r="I45" s="25"/>
      <c r="J45" s="25"/>
    </row>
    <row r="46" ht="15.75" customHeight="1">
      <c r="A46" s="24" t="s">
        <v>205</v>
      </c>
      <c r="B46" s="25"/>
      <c r="C46" s="25"/>
      <c r="D46" s="26"/>
      <c r="E46" s="25"/>
      <c r="F46" s="11" t="s">
        <v>75</v>
      </c>
      <c r="G46" s="26"/>
      <c r="H46" s="26"/>
      <c r="I46" s="25"/>
      <c r="J46" s="25"/>
    </row>
    <row r="47" ht="15.75" customHeight="1">
      <c r="A47" s="24" t="s">
        <v>206</v>
      </c>
      <c r="B47" s="25"/>
      <c r="C47" s="25"/>
      <c r="D47" s="26"/>
      <c r="E47" s="25"/>
      <c r="F47" s="11" t="s">
        <v>75</v>
      </c>
      <c r="G47" s="26"/>
      <c r="H47" s="26"/>
      <c r="I47" s="25"/>
      <c r="J47" s="25"/>
    </row>
    <row r="48" ht="15.75" customHeight="1">
      <c r="A48" s="24" t="s">
        <v>207</v>
      </c>
      <c r="B48" s="25"/>
      <c r="C48" s="25"/>
      <c r="D48" s="26"/>
      <c r="E48" s="25"/>
      <c r="F48" s="11" t="s">
        <v>75</v>
      </c>
      <c r="G48" s="26"/>
      <c r="H48" s="26"/>
      <c r="I48" s="25"/>
      <c r="J48" s="25"/>
    </row>
    <row r="49" ht="15.75" customHeight="1">
      <c r="A49" s="24" t="s">
        <v>208</v>
      </c>
      <c r="B49" s="25"/>
      <c r="C49" s="25"/>
      <c r="D49" s="26"/>
      <c r="E49" s="25"/>
      <c r="F49" s="11" t="s">
        <v>75</v>
      </c>
      <c r="G49" s="26"/>
      <c r="H49" s="26"/>
      <c r="I49" s="25"/>
      <c r="J49" s="25"/>
    </row>
    <row r="50" ht="15.75" customHeight="1">
      <c r="A50" s="24" t="s">
        <v>209</v>
      </c>
      <c r="B50" s="25"/>
      <c r="C50" s="25"/>
      <c r="D50" s="26"/>
      <c r="E50" s="25"/>
      <c r="F50" s="11" t="s">
        <v>75</v>
      </c>
      <c r="G50" s="26"/>
      <c r="H50" s="26"/>
      <c r="I50" s="25"/>
      <c r="J50" s="25"/>
    </row>
    <row r="51" ht="15.75" customHeight="1">
      <c r="A51" s="24" t="s">
        <v>210</v>
      </c>
      <c r="B51" s="25"/>
      <c r="C51" s="25"/>
      <c r="D51" s="26"/>
      <c r="E51" s="25"/>
      <c r="F51" s="11" t="s">
        <v>33</v>
      </c>
      <c r="G51" s="26"/>
      <c r="H51" s="26"/>
      <c r="I51" s="25"/>
      <c r="J51" s="25"/>
    </row>
    <row r="52" ht="15.75" customHeight="1">
      <c r="A52" s="24" t="s">
        <v>211</v>
      </c>
      <c r="B52" s="25"/>
      <c r="C52" s="25"/>
      <c r="D52" s="26"/>
      <c r="E52" s="25"/>
      <c r="F52" s="11" t="s">
        <v>75</v>
      </c>
      <c r="G52" s="26"/>
      <c r="H52" s="26"/>
      <c r="I52" s="25"/>
      <c r="J52" s="25"/>
    </row>
    <row r="53" ht="15.75" customHeight="1">
      <c r="A53" s="24" t="s">
        <v>212</v>
      </c>
      <c r="B53" s="25"/>
      <c r="C53" s="25"/>
      <c r="D53" s="26"/>
      <c r="E53" s="25"/>
      <c r="F53" s="11" t="s">
        <v>75</v>
      </c>
      <c r="G53" s="26"/>
      <c r="H53" s="26"/>
      <c r="I53" s="25"/>
      <c r="J53" s="25"/>
    </row>
    <row r="54" ht="15.75" customHeight="1">
      <c r="A54" s="24" t="s">
        <v>213</v>
      </c>
      <c r="B54" s="25"/>
      <c r="C54" s="25"/>
      <c r="D54" s="26"/>
      <c r="E54" s="25"/>
      <c r="F54" s="11" t="s">
        <v>75</v>
      </c>
      <c r="G54" s="26"/>
      <c r="H54" s="26"/>
      <c r="I54" s="25"/>
      <c r="J54" s="25"/>
    </row>
    <row r="55" ht="15.75" customHeight="1">
      <c r="A55" s="24" t="s">
        <v>214</v>
      </c>
      <c r="B55" s="25"/>
      <c r="C55" s="25"/>
      <c r="D55" s="26"/>
      <c r="E55" s="25"/>
      <c r="F55" s="11" t="s">
        <v>75</v>
      </c>
      <c r="G55" s="26"/>
      <c r="H55" s="26"/>
      <c r="I55" s="25"/>
      <c r="J55" s="25"/>
    </row>
    <row r="56" ht="15.75" customHeight="1">
      <c r="A56" s="24" t="s">
        <v>215</v>
      </c>
      <c r="B56" s="25"/>
      <c r="C56" s="25"/>
      <c r="D56" s="26"/>
      <c r="E56" s="25"/>
      <c r="F56" s="11" t="s">
        <v>75</v>
      </c>
      <c r="G56" s="26"/>
      <c r="H56" s="26"/>
      <c r="I56" s="25"/>
      <c r="J56" s="25"/>
    </row>
    <row r="57" ht="15.75" customHeight="1">
      <c r="A57" s="24" t="s">
        <v>216</v>
      </c>
      <c r="B57" s="25"/>
      <c r="C57" s="25"/>
      <c r="D57" s="26"/>
      <c r="E57" s="25"/>
      <c r="F57" s="11" t="s">
        <v>75</v>
      </c>
      <c r="G57" s="26"/>
      <c r="H57" s="26"/>
      <c r="I57" s="25"/>
      <c r="J57" s="25"/>
    </row>
    <row r="58" ht="15.75" customHeight="1">
      <c r="A58" s="24" t="s">
        <v>217</v>
      </c>
      <c r="B58" s="25"/>
      <c r="C58" s="25"/>
      <c r="D58" s="26"/>
      <c r="E58" s="25"/>
      <c r="F58" s="11" t="s">
        <v>75</v>
      </c>
      <c r="G58" s="26"/>
      <c r="H58" s="26"/>
      <c r="I58" s="25"/>
      <c r="J58" s="25"/>
    </row>
    <row r="59" ht="15.75" customHeight="1">
      <c r="A59" s="24" t="s">
        <v>218</v>
      </c>
      <c r="B59" s="25"/>
      <c r="C59" s="25"/>
      <c r="D59" s="26"/>
      <c r="E59" s="25"/>
      <c r="F59" s="11" t="s">
        <v>75</v>
      </c>
      <c r="G59" s="26"/>
      <c r="H59" s="26"/>
      <c r="I59" s="25"/>
      <c r="J59" s="25"/>
    </row>
    <row r="60" ht="15.75" customHeight="1">
      <c r="A60" s="24" t="s">
        <v>219</v>
      </c>
      <c r="B60" s="25"/>
      <c r="C60" s="25"/>
      <c r="D60" s="26"/>
      <c r="E60" s="25"/>
      <c r="F60" s="11" t="s">
        <v>75</v>
      </c>
      <c r="G60" s="26"/>
      <c r="H60" s="26"/>
      <c r="I60" s="25"/>
      <c r="J60" s="25"/>
    </row>
    <row r="61" ht="15.75" customHeight="1">
      <c r="A61" s="24" t="s">
        <v>220</v>
      </c>
      <c r="B61" s="25"/>
      <c r="C61" s="25"/>
      <c r="D61" s="26"/>
      <c r="E61" s="25"/>
      <c r="F61" s="11" t="s">
        <v>75</v>
      </c>
      <c r="G61" s="26"/>
      <c r="H61" s="26"/>
      <c r="I61" s="25"/>
      <c r="J61" s="25"/>
    </row>
    <row r="62" ht="15.75" customHeight="1">
      <c r="A62" s="24" t="s">
        <v>221</v>
      </c>
      <c r="B62" s="25"/>
      <c r="C62" s="25"/>
      <c r="D62" s="26"/>
      <c r="E62" s="25"/>
      <c r="F62" s="11" t="s">
        <v>75</v>
      </c>
      <c r="G62" s="26"/>
      <c r="H62" s="26"/>
      <c r="I62" s="25"/>
      <c r="J62" s="25"/>
    </row>
    <row r="63" ht="15.75" customHeight="1">
      <c r="A63" s="24" t="s">
        <v>222</v>
      </c>
      <c r="B63" s="25"/>
      <c r="C63" s="25"/>
      <c r="D63" s="26"/>
      <c r="E63" s="25"/>
      <c r="F63" s="11" t="s">
        <v>75</v>
      </c>
      <c r="G63" s="26"/>
      <c r="H63" s="26"/>
      <c r="I63" s="25"/>
      <c r="J63" s="25"/>
    </row>
    <row r="64" ht="15.75" customHeight="1">
      <c r="A64" s="24" t="s">
        <v>223</v>
      </c>
      <c r="B64" s="25"/>
      <c r="C64" s="25"/>
      <c r="D64" s="26"/>
      <c r="E64" s="25"/>
      <c r="F64" s="11" t="s">
        <v>75</v>
      </c>
      <c r="G64" s="26"/>
      <c r="H64" s="26"/>
      <c r="I64" s="25"/>
      <c r="J64" s="25"/>
    </row>
    <row r="65" ht="15.75" customHeight="1">
      <c r="A65" s="24" t="s">
        <v>224</v>
      </c>
      <c r="B65" s="25"/>
      <c r="C65" s="25"/>
      <c r="D65" s="26"/>
      <c r="E65" s="25"/>
      <c r="F65" s="11" t="s">
        <v>75</v>
      </c>
      <c r="G65" s="26"/>
      <c r="H65" s="26"/>
      <c r="I65" s="25"/>
      <c r="J65" s="25"/>
    </row>
    <row r="66" ht="15.75" customHeight="1">
      <c r="A66" s="24" t="s">
        <v>225</v>
      </c>
      <c r="B66" s="25"/>
      <c r="C66" s="25"/>
      <c r="D66" s="26"/>
      <c r="E66" s="25"/>
      <c r="F66" s="11" t="s">
        <v>75</v>
      </c>
      <c r="G66" s="26"/>
      <c r="H66" s="26"/>
      <c r="I66" s="25"/>
      <c r="J66" s="25"/>
    </row>
    <row r="67" ht="15.75" customHeight="1">
      <c r="A67" s="24" t="s">
        <v>226</v>
      </c>
      <c r="B67" s="25"/>
      <c r="C67" s="25"/>
      <c r="D67" s="26"/>
      <c r="E67" s="25"/>
      <c r="F67" s="11" t="s">
        <v>75</v>
      </c>
      <c r="G67" s="26"/>
      <c r="H67" s="26"/>
      <c r="I67" s="25"/>
      <c r="J67" s="25"/>
    </row>
    <row r="68" ht="15.75" customHeight="1">
      <c r="A68" s="24" t="s">
        <v>227</v>
      </c>
      <c r="B68" s="25"/>
      <c r="C68" s="25"/>
      <c r="D68" s="26"/>
      <c r="E68" s="25"/>
      <c r="F68" s="11" t="s">
        <v>75</v>
      </c>
      <c r="G68" s="26"/>
      <c r="H68" s="26"/>
      <c r="I68" s="25"/>
      <c r="J68" s="25"/>
    </row>
    <row r="69" ht="15.75" customHeight="1">
      <c r="A69" s="24" t="s">
        <v>228</v>
      </c>
      <c r="B69" s="25"/>
      <c r="C69" s="25"/>
      <c r="D69" s="26"/>
      <c r="E69" s="25"/>
      <c r="F69" s="11" t="s">
        <v>75</v>
      </c>
      <c r="G69" s="26"/>
      <c r="H69" s="26"/>
      <c r="I69" s="25"/>
      <c r="J69" s="25"/>
    </row>
    <row r="70" ht="15.75" customHeight="1">
      <c r="A70" s="24" t="s">
        <v>229</v>
      </c>
      <c r="B70" s="25"/>
      <c r="C70" s="25"/>
      <c r="D70" s="26"/>
      <c r="E70" s="25"/>
      <c r="F70" s="11" t="s">
        <v>75</v>
      </c>
      <c r="G70" s="26"/>
      <c r="H70" s="26"/>
      <c r="I70" s="25"/>
      <c r="J70" s="25"/>
    </row>
    <row r="71" ht="15.75" customHeight="1">
      <c r="A71" s="24" t="s">
        <v>230</v>
      </c>
      <c r="B71" s="25"/>
      <c r="C71" s="25"/>
      <c r="D71" s="26"/>
      <c r="E71" s="25"/>
      <c r="F71" s="11" t="s">
        <v>75</v>
      </c>
      <c r="G71" s="26"/>
      <c r="H71" s="26"/>
      <c r="I71" s="25"/>
      <c r="J71" s="25"/>
    </row>
    <row r="72" ht="15.75" customHeight="1">
      <c r="A72" s="24" t="s">
        <v>231</v>
      </c>
      <c r="B72" s="25"/>
      <c r="C72" s="25"/>
      <c r="D72" s="26"/>
      <c r="E72" s="25"/>
      <c r="F72" s="11" t="s">
        <v>75</v>
      </c>
      <c r="G72" s="26"/>
      <c r="H72" s="26"/>
      <c r="I72" s="25"/>
      <c r="J72" s="25"/>
    </row>
    <row r="73" ht="15.75" customHeight="1">
      <c r="A73" s="24" t="s">
        <v>232</v>
      </c>
      <c r="B73" s="25"/>
      <c r="C73" s="25"/>
      <c r="D73" s="26"/>
      <c r="E73" s="25"/>
      <c r="F73" s="11" t="s">
        <v>75</v>
      </c>
      <c r="G73" s="26"/>
      <c r="H73" s="26"/>
      <c r="I73" s="25"/>
      <c r="J73" s="25"/>
    </row>
    <row r="74" ht="15.75" customHeight="1">
      <c r="A74" s="24" t="s">
        <v>233</v>
      </c>
      <c r="B74" s="25"/>
      <c r="C74" s="25"/>
      <c r="D74" s="26"/>
      <c r="E74" s="25"/>
      <c r="F74" s="11" t="s">
        <v>75</v>
      </c>
      <c r="G74" s="26"/>
      <c r="H74" s="26"/>
      <c r="I74" s="25"/>
      <c r="J74" s="25"/>
    </row>
    <row r="75" ht="15.75" customHeight="1">
      <c r="A75" s="24" t="s">
        <v>234</v>
      </c>
      <c r="B75" s="25"/>
      <c r="C75" s="25"/>
      <c r="D75" s="26"/>
      <c r="E75" s="25"/>
      <c r="F75" s="11" t="s">
        <v>75</v>
      </c>
      <c r="G75" s="26"/>
      <c r="H75" s="26"/>
      <c r="I75" s="25"/>
      <c r="J75" s="25"/>
    </row>
    <row r="76" ht="15.75" customHeight="1">
      <c r="A76" s="24" t="s">
        <v>235</v>
      </c>
      <c r="B76" s="25"/>
      <c r="C76" s="25"/>
      <c r="D76" s="26"/>
      <c r="E76" s="25"/>
      <c r="F76" s="11" t="s">
        <v>75</v>
      </c>
      <c r="G76" s="26"/>
      <c r="H76" s="26"/>
      <c r="I76" s="25"/>
      <c r="J76" s="25"/>
    </row>
    <row r="77" ht="15.75" customHeight="1">
      <c r="A77" s="24" t="s">
        <v>236</v>
      </c>
      <c r="B77" s="25"/>
      <c r="C77" s="25"/>
      <c r="D77" s="26"/>
      <c r="E77" s="25"/>
      <c r="F77" s="11" t="s">
        <v>75</v>
      </c>
      <c r="G77" s="26"/>
      <c r="H77" s="26"/>
      <c r="I77" s="25"/>
      <c r="J77" s="25"/>
    </row>
    <row r="78" ht="15.75" customHeight="1">
      <c r="A78" s="24" t="s">
        <v>237</v>
      </c>
      <c r="B78" s="25"/>
      <c r="C78" s="25"/>
      <c r="D78" s="26"/>
      <c r="E78" s="25"/>
      <c r="F78" s="11" t="s">
        <v>75</v>
      </c>
      <c r="G78" s="26"/>
      <c r="H78" s="26"/>
      <c r="I78" s="25"/>
      <c r="J78" s="25"/>
    </row>
    <row r="79" ht="15.75" customHeight="1">
      <c r="A79" s="24" t="s">
        <v>238</v>
      </c>
      <c r="B79" s="25"/>
      <c r="C79" s="25"/>
      <c r="D79" s="26"/>
      <c r="E79" s="25"/>
      <c r="F79" s="11" t="s">
        <v>75</v>
      </c>
      <c r="G79" s="26"/>
      <c r="H79" s="26"/>
      <c r="I79" s="25"/>
      <c r="J79" s="25"/>
    </row>
    <row r="80" ht="15.75" customHeight="1">
      <c r="A80" s="24" t="s">
        <v>239</v>
      </c>
      <c r="B80" s="25"/>
      <c r="C80" s="25"/>
      <c r="D80" s="26"/>
      <c r="E80" s="25"/>
      <c r="F80" s="11" t="s">
        <v>75</v>
      </c>
      <c r="G80" s="26"/>
      <c r="H80" s="26"/>
      <c r="I80" s="25"/>
      <c r="J80" s="25"/>
    </row>
    <row r="81" ht="15.75" customHeight="1">
      <c r="A81" s="24" t="s">
        <v>240</v>
      </c>
      <c r="B81" s="25"/>
      <c r="C81" s="25"/>
      <c r="D81" s="26"/>
      <c r="E81" s="25"/>
      <c r="F81" s="11" t="s">
        <v>75</v>
      </c>
      <c r="G81" s="26"/>
      <c r="H81" s="26"/>
      <c r="I81" s="25"/>
      <c r="J81" s="25"/>
    </row>
    <row r="82" ht="15.75" customHeight="1">
      <c r="A82" s="24" t="s">
        <v>241</v>
      </c>
      <c r="B82" s="25"/>
      <c r="C82" s="25"/>
      <c r="D82" s="26"/>
      <c r="E82" s="25"/>
      <c r="F82" s="11" t="s">
        <v>75</v>
      </c>
      <c r="G82" s="26"/>
      <c r="H82" s="26"/>
      <c r="I82" s="25"/>
      <c r="J82" s="25"/>
    </row>
    <row r="83" ht="15.75" customHeight="1">
      <c r="A83" s="24" t="s">
        <v>242</v>
      </c>
      <c r="B83" s="25"/>
      <c r="C83" s="25"/>
      <c r="D83" s="26"/>
      <c r="E83" s="25"/>
      <c r="F83" s="11" t="s">
        <v>75</v>
      </c>
      <c r="G83" s="26"/>
      <c r="H83" s="26"/>
      <c r="I83" s="25"/>
      <c r="J83" s="25"/>
    </row>
    <row r="84" ht="15.75" customHeight="1">
      <c r="A84" s="24" t="s">
        <v>243</v>
      </c>
      <c r="B84" s="25"/>
      <c r="C84" s="25"/>
      <c r="D84" s="26"/>
      <c r="E84" s="25"/>
      <c r="F84" s="11" t="s">
        <v>75</v>
      </c>
      <c r="G84" s="26"/>
      <c r="H84" s="26"/>
      <c r="I84" s="25"/>
      <c r="J84" s="25"/>
    </row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conditionalFormatting sqref="E2:E41">
    <cfRule type="expression" dxfId="4" priority="1">
      <formula>E2="A"</formula>
    </cfRule>
  </conditionalFormatting>
  <conditionalFormatting sqref="F2:F84">
    <cfRule type="expression" dxfId="5" priority="2">
      <formula>F2="Visita concertada"</formula>
    </cfRule>
  </conditionalFormatting>
  <conditionalFormatting sqref="F2:F84">
    <cfRule type="expression" dxfId="6" priority="3">
      <formula>F2="Visita realizada"</formula>
    </cfRule>
  </conditionalFormatting>
  <conditionalFormatting sqref="F2:F84">
    <cfRule type="expression" dxfId="7" priority="4">
      <formula>F2="Sin interés"</formula>
    </cfRule>
  </conditionalFormatting>
  <dataValidations>
    <dataValidation type="list" allowBlank="1" sqref="F2:F84">
      <formula1>"Pendiente,Contactado,Visita concertada,Visita realizada,Seguimiento,Sin interés"</formula1>
    </dataValidation>
    <dataValidation type="list" allowBlank="1" sqref="E2:E41">
      <formula1>"A,B,C"</formula1>
    </dataValidation>
    <dataValidation type="list" allowBlank="1" sqref="H2:H41">
      <formula1>"Llamar,Enviar e-mail,Visitar,Seguimiento,Esperar campaña"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55.0"/>
    <col customWidth="1" min="3" max="3" width="8.63"/>
    <col customWidth="1" min="4" max="4" width="18.0"/>
    <col customWidth="1" min="5" max="5" width="12.0"/>
    <col customWidth="1" min="6" max="26" width="8.63"/>
  </cols>
  <sheetData>
    <row r="1">
      <c r="A1" s="28" t="s">
        <v>244</v>
      </c>
    </row>
    <row r="3">
      <c r="A3" s="29" t="s">
        <v>245</v>
      </c>
      <c r="B3" s="30">
        <f>COUNTA('CRM Activos'!A2:A41)</f>
        <v>40</v>
      </c>
      <c r="D3" s="29" t="s">
        <v>246</v>
      </c>
      <c r="E3" s="30">
        <f>COUNTIF('CRM Activos'!E2:E41,"A")</f>
        <v>40</v>
      </c>
    </row>
    <row r="4">
      <c r="A4" s="29" t="s">
        <v>247</v>
      </c>
      <c r="B4" s="30">
        <f>COUNTIF('CRM Activos'!F2:F41,"Pendiente")</f>
        <v>4</v>
      </c>
      <c r="D4" s="29" t="s">
        <v>248</v>
      </c>
      <c r="E4" s="30">
        <f>COUNTIF('CRM Activos'!E2:E41,"B")</f>
        <v>0</v>
      </c>
    </row>
    <row r="5">
      <c r="A5" s="29" t="s">
        <v>249</v>
      </c>
      <c r="B5" s="30">
        <f>COUNTIF('CRM Activos'!F2:F41,"Contactado")</f>
        <v>26</v>
      </c>
      <c r="D5" s="29" t="s">
        <v>250</v>
      </c>
      <c r="E5" s="30">
        <f>COUNTIF('CRM Activos'!E2:E41,"C")</f>
        <v>0</v>
      </c>
    </row>
    <row r="6">
      <c r="A6" s="29" t="s">
        <v>251</v>
      </c>
      <c r="B6" s="30">
        <f>COUNTIF('CRM Activos'!F2:F41,"Visita concertada")</f>
        <v>0</v>
      </c>
    </row>
    <row r="7">
      <c r="A7" s="29" t="s">
        <v>33</v>
      </c>
      <c r="B7" s="30">
        <f>COUNTIF('CRM Activos'!F2:F41,"Visita realizada")</f>
        <v>10</v>
      </c>
    </row>
    <row r="10">
      <c r="A10" s="31" t="s">
        <v>252</v>
      </c>
      <c r="B10" s="31"/>
    </row>
    <row r="11">
      <c r="A11" s="32" t="s">
        <v>253</v>
      </c>
      <c r="B11" s="32" t="s">
        <v>254</v>
      </c>
    </row>
    <row r="12">
      <c r="A12" s="32" t="s">
        <v>255</v>
      </c>
      <c r="B12" s="32" t="s">
        <v>256</v>
      </c>
    </row>
    <row r="13">
      <c r="A13" s="32" t="s">
        <v>257</v>
      </c>
      <c r="B13" s="32" t="s">
        <v>258</v>
      </c>
    </row>
    <row r="14">
      <c r="A14" s="32" t="s">
        <v>259</v>
      </c>
      <c r="B14" s="32" t="s">
        <v>260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3" width="20.0"/>
    <col customWidth="1" min="4" max="26" width="8.63"/>
  </cols>
  <sheetData>
    <row r="1">
      <c r="A1" s="33" t="s">
        <v>5</v>
      </c>
      <c r="B1" s="33" t="s">
        <v>4</v>
      </c>
      <c r="C1" s="33" t="s">
        <v>7</v>
      </c>
    </row>
    <row r="2">
      <c r="A2" s="30" t="s">
        <v>75</v>
      </c>
      <c r="B2" s="30" t="s">
        <v>14</v>
      </c>
      <c r="C2" s="30" t="s">
        <v>16</v>
      </c>
    </row>
    <row r="3">
      <c r="A3" s="30" t="s">
        <v>15</v>
      </c>
      <c r="B3" s="30" t="s">
        <v>261</v>
      </c>
      <c r="C3" s="30" t="s">
        <v>51</v>
      </c>
    </row>
    <row r="4">
      <c r="A4" s="30" t="s">
        <v>251</v>
      </c>
      <c r="B4" s="30" t="s">
        <v>262</v>
      </c>
      <c r="C4" s="30" t="s">
        <v>40</v>
      </c>
    </row>
    <row r="5">
      <c r="A5" s="30" t="s">
        <v>33</v>
      </c>
      <c r="C5" s="30" t="s">
        <v>85</v>
      </c>
    </row>
    <row r="6">
      <c r="A6" s="30" t="s">
        <v>85</v>
      </c>
      <c r="C6" s="30" t="s">
        <v>34</v>
      </c>
    </row>
    <row r="7">
      <c r="A7" s="30" t="s">
        <v>263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